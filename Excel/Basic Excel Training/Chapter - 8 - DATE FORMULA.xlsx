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LATEST FOR GITHUB\"/>
    </mc:Choice>
  </mc:AlternateContent>
  <xr:revisionPtr revIDLastSave="0" documentId="8_{CCBDF767-979B-4F22-9492-2D9FFFF2AA6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oject Deadlines" sheetId="3" r:id="rId1"/>
    <sheet name="Employee Data" sheetId="1" r:id="rId2"/>
    <sheet name="Leave Records" sheetId="2" r:id="rId3"/>
    <sheet name="Financial D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4" l="1"/>
  <c r="E4" i="4"/>
  <c r="E5" i="4"/>
  <c r="E2" i="4"/>
  <c r="D2" i="4"/>
  <c r="D3" i="4"/>
  <c r="D4" i="4"/>
  <c r="D5" i="4"/>
  <c r="G2" i="3"/>
  <c r="B4" i="2"/>
  <c r="B3" i="2"/>
  <c r="E3" i="3"/>
  <c r="E4" i="3"/>
  <c r="E5" i="3"/>
  <c r="E6" i="3"/>
  <c r="E2" i="3"/>
  <c r="I3" i="1"/>
  <c r="I4" i="1"/>
  <c r="E2" i="1"/>
  <c r="F2" i="3"/>
  <c r="F3" i="3"/>
  <c r="F4" i="3"/>
  <c r="F5" i="3"/>
  <c r="G5" i="3" s="1"/>
  <c r="F6" i="3"/>
  <c r="G6" i="3" s="1"/>
  <c r="C2" i="3"/>
  <c r="C3" i="3"/>
  <c r="C4" i="3"/>
  <c r="C5" i="3"/>
  <c r="C6" i="3"/>
  <c r="E3" i="1"/>
  <c r="E4" i="1"/>
  <c r="E5" i="1"/>
  <c r="E6" i="1"/>
  <c r="G4" i="3" l="1"/>
  <c r="G3" i="3"/>
</calcChain>
</file>

<file path=xl/sharedStrings.xml><?xml version="1.0" encoding="utf-8"?>
<sst xmlns="http://schemas.openxmlformats.org/spreadsheetml/2006/main" count="34" uniqueCount="32">
  <si>
    <t>Employee ID</t>
  </si>
  <si>
    <t>Employee Name</t>
  </si>
  <si>
    <t>Date of Joining</t>
  </si>
  <si>
    <t>Date of Birth</t>
  </si>
  <si>
    <t>John Doe</t>
  </si>
  <si>
    <t>Jane Smith</t>
  </si>
  <si>
    <t>Robert Brown</t>
  </si>
  <si>
    <t>Emily Davis</t>
  </si>
  <si>
    <t>Michael Johnson</t>
  </si>
  <si>
    <t>Project ID</t>
  </si>
  <si>
    <t>Start Date</t>
  </si>
  <si>
    <t>End Date</t>
  </si>
  <si>
    <t>Days Remaining</t>
  </si>
  <si>
    <t>P101</t>
  </si>
  <si>
    <t>P102</t>
  </si>
  <si>
    <t>P103</t>
  </si>
  <si>
    <t>P104</t>
  </si>
  <si>
    <t>P105</t>
  </si>
  <si>
    <t>2024-05-30</t>
  </si>
  <si>
    <t>2024-06-15</t>
  </si>
  <si>
    <t>2024-07-25</t>
  </si>
  <si>
    <t>2024-08-10</t>
  </si>
  <si>
    <t>Quarter Start Date</t>
  </si>
  <si>
    <t>Quarter End Date</t>
  </si>
  <si>
    <t>Current Date</t>
  </si>
  <si>
    <t>Days Left in Quarter</t>
  </si>
  <si>
    <t>Work Days</t>
  </si>
  <si>
    <t>Holidays</t>
  </si>
  <si>
    <t>Age</t>
  </si>
  <si>
    <t>DATE FORMULA</t>
  </si>
  <si>
    <t>EOMONTH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</si>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</sst>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\-yyyy"/>
    <numFmt numFmtId="170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14" fontId="0" fillId="3" borderId="1" xfId="0" applyNumberFormat="1" applyFill="1" applyBorder="1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0" borderId="0" xfId="0"/>
    <xf numFmtId="166" fontId="1" fillId="2" borderId="1" xfId="0" applyNumberFormat="1" applyFont="1" applyFill="1" applyBorder="1" applyAlignment="1">
      <alignment horizontal="center" vertical="top"/>
    </xf>
    <xf numFmtId="166" fontId="0" fillId="3" borderId="1" xfId="0" applyNumberFormat="1" applyFill="1" applyBorder="1"/>
    <xf numFmtId="166" fontId="0" fillId="0" borderId="0" xfId="0" applyNumberFormat="1"/>
    <xf numFmtId="166" fontId="0" fillId="4" borderId="1" xfId="0" applyNumberFormat="1" applyFill="1" applyBorder="1"/>
    <xf numFmtId="0" fontId="1" fillId="2" borderId="1" xfId="0" applyNumberFormat="1" applyFont="1" applyFill="1" applyBorder="1" applyAlignment="1">
      <alignment horizontal="center" vertical="top"/>
    </xf>
    <xf numFmtId="14" fontId="0" fillId="4" borderId="1" xfId="0" applyNumberFormat="1" applyFill="1" applyBorder="1"/>
    <xf numFmtId="0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NumberFormat="1" applyFill="1" applyBorder="1"/>
    <xf numFmtId="0" fontId="1" fillId="6" borderId="1" xfId="0" applyFont="1" applyFill="1" applyBorder="1" applyAlignment="1">
      <alignment horizontal="center" vertical="top"/>
    </xf>
    <xf numFmtId="14" fontId="0" fillId="6" borderId="1" xfId="0" applyNumberFormat="1" applyFill="1" applyBorder="1"/>
    <xf numFmtId="0" fontId="1" fillId="6" borderId="1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/>
    </xf>
    <xf numFmtId="170" fontId="0" fillId="3" borderId="1" xfId="0" applyNumberFormat="1" applyFill="1" applyBorder="1"/>
    <xf numFmtId="14" fontId="0" fillId="7" borderId="1" xfId="0" applyNumberFormat="1" applyFill="1" applyBorder="1"/>
    <xf numFmtId="0" fontId="0" fillId="7" borderId="1" xfId="0" applyFill="1" applyBorder="1"/>
    <xf numFmtId="0" fontId="1" fillId="8" borderId="1" xfId="0" applyFont="1" applyFill="1" applyBorder="1" applyAlignment="1">
      <alignment horizontal="center" vertical="top"/>
    </xf>
    <xf numFmtId="0" fontId="0" fillId="8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1" fillId="10" borderId="1" xfId="0" applyFont="1" applyFill="1" applyBorder="1" applyAlignment="1">
      <alignment horizontal="center" vertical="top"/>
    </xf>
    <xf numFmtId="166" fontId="1" fillId="10" borderId="1" xfId="0" applyNumberFormat="1" applyFont="1" applyFill="1" applyBorder="1" applyAlignment="1">
      <alignment horizontal="center" vertical="top"/>
    </xf>
    <xf numFmtId="166" fontId="0" fillId="9" borderId="1" xfId="0" applyNumberFormat="1" applyFill="1" applyBorder="1"/>
    <xf numFmtId="170" fontId="1" fillId="10" borderId="1" xfId="0" applyNumberFormat="1" applyFont="1" applyFill="1" applyBorder="1" applyAlignment="1">
      <alignment horizontal="center" vertical="top"/>
    </xf>
    <xf numFmtId="170" fontId="0" fillId="9" borderId="1" xfId="0" applyNumberFormat="1" applyFill="1" applyBorder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zoomScale="190" zoomScaleNormal="190" workbookViewId="0">
      <selection activeCell="G2" sqref="G2"/>
    </sheetView>
  </sheetViews>
  <sheetFormatPr defaultRowHeight="15" x14ac:dyDescent="0.25"/>
  <cols>
    <col min="1" max="1" width="9.28515625" bestFit="1" customWidth="1"/>
    <col min="2" max="2" width="11.28515625" style="11" customWidth="1"/>
    <col min="3" max="3" width="15.140625" style="11" bestFit="1" customWidth="1"/>
    <col min="4" max="4" width="13.28515625" customWidth="1"/>
    <col min="5" max="5" width="13.28515625" style="8" customWidth="1"/>
    <col min="6" max="6" width="15.140625" style="8" bestFit="1" customWidth="1"/>
    <col min="7" max="7" width="15.140625" style="2" bestFit="1" customWidth="1"/>
    <col min="8" max="8" width="10.28515625" bestFit="1" customWidth="1"/>
    <col min="10" max="10" width="10.5703125" bestFit="1" customWidth="1"/>
  </cols>
  <sheetData>
    <row r="1" spans="1:10" x14ac:dyDescent="0.25">
      <c r="A1" s="3" t="s">
        <v>9</v>
      </c>
      <c r="B1" s="9" t="s">
        <v>10</v>
      </c>
      <c r="C1" s="9" t="s">
        <v>29</v>
      </c>
      <c r="D1" s="3" t="s">
        <v>11</v>
      </c>
      <c r="E1" s="6" t="s">
        <v>30</v>
      </c>
      <c r="F1" s="9" t="s">
        <v>29</v>
      </c>
      <c r="G1" s="13" t="s">
        <v>12</v>
      </c>
    </row>
    <row r="2" spans="1:10" x14ac:dyDescent="0.25">
      <c r="A2" s="4" t="s">
        <v>13</v>
      </c>
      <c r="B2" s="10">
        <v>45292</v>
      </c>
      <c r="C2" s="12">
        <f>DATE(YEAR(B2),MONTH(B2),DAY(B2))</f>
        <v>45292</v>
      </c>
      <c r="D2" s="5">
        <v>45382</v>
      </c>
      <c r="E2" s="29">
        <f>EOMONTH(B2,2)</f>
        <v>45382</v>
      </c>
      <c r="F2" s="14">
        <f>DATE(YEAR(D2),MONTH(D2),DAY(D2))</f>
        <v>45382</v>
      </c>
      <c r="G2" s="15">
        <f>F2-C2</f>
        <v>90</v>
      </c>
    </row>
    <row r="3" spans="1:10" x14ac:dyDescent="0.25">
      <c r="A3" s="4" t="s">
        <v>14</v>
      </c>
      <c r="B3" s="10">
        <v>45337</v>
      </c>
      <c r="C3" s="12">
        <f t="shared" ref="C3:C6" si="0">DATE(YEAR(B3),MONTH(B3),DAY(B3))</f>
        <v>45337</v>
      </c>
      <c r="D3" s="7" t="s">
        <v>18</v>
      </c>
      <c r="E3" s="29">
        <f t="shared" ref="E3:E6" si="1">EOMONTH(B3,2)</f>
        <v>45412</v>
      </c>
      <c r="F3" s="14">
        <f t="shared" ref="F3:F6" si="2">DATE(YEAR(D3),MONTH(D3),DAY(D3))</f>
        <v>45442</v>
      </c>
      <c r="G3" s="15">
        <f>F3-C3</f>
        <v>105</v>
      </c>
    </row>
    <row r="4" spans="1:10" x14ac:dyDescent="0.25">
      <c r="A4" s="4" t="s">
        <v>15</v>
      </c>
      <c r="B4" s="10">
        <v>45352</v>
      </c>
      <c r="C4" s="12">
        <f t="shared" si="0"/>
        <v>45352</v>
      </c>
      <c r="D4" s="7" t="s">
        <v>19</v>
      </c>
      <c r="E4" s="29">
        <f t="shared" si="1"/>
        <v>45443</v>
      </c>
      <c r="F4" s="14">
        <f t="shared" si="2"/>
        <v>45458</v>
      </c>
      <c r="G4" s="15">
        <f>F4-C4</f>
        <v>106</v>
      </c>
    </row>
    <row r="5" spans="1:10" x14ac:dyDescent="0.25">
      <c r="A5" s="4" t="s">
        <v>16</v>
      </c>
      <c r="B5" s="10">
        <v>45392</v>
      </c>
      <c r="C5" s="12">
        <f t="shared" si="0"/>
        <v>45392</v>
      </c>
      <c r="D5" s="7" t="s">
        <v>20</v>
      </c>
      <c r="E5" s="29">
        <f t="shared" si="1"/>
        <v>45473</v>
      </c>
      <c r="F5" s="14">
        <f t="shared" si="2"/>
        <v>45498</v>
      </c>
      <c r="G5" s="15">
        <f>F5-C5</f>
        <v>106</v>
      </c>
    </row>
    <row r="6" spans="1:10" x14ac:dyDescent="0.25">
      <c r="A6" s="4" t="s">
        <v>17</v>
      </c>
      <c r="B6" s="10">
        <v>45417</v>
      </c>
      <c r="C6" s="12">
        <f t="shared" si="0"/>
        <v>45417</v>
      </c>
      <c r="D6" s="7" t="s">
        <v>21</v>
      </c>
      <c r="E6" s="29">
        <f t="shared" si="1"/>
        <v>45504</v>
      </c>
      <c r="F6" s="14">
        <f t="shared" si="2"/>
        <v>45514</v>
      </c>
      <c r="G6" s="15">
        <f>F6-C6</f>
        <v>97</v>
      </c>
      <c r="J6" s="1"/>
    </row>
    <row r="9" spans="1:10" x14ac:dyDescent="0.25">
      <c r="B9" s="1"/>
      <c r="C9" s="1"/>
    </row>
    <row r="10" spans="1:10" x14ac:dyDescent="0.25">
      <c r="B10"/>
      <c r="C10" s="8"/>
    </row>
    <row r="11" spans="1:10" x14ac:dyDescent="0.25">
      <c r="B11"/>
      <c r="C11" s="8"/>
    </row>
    <row r="12" spans="1:10" x14ac:dyDescent="0.25">
      <c r="B12"/>
      <c r="C12" s="8"/>
    </row>
    <row r="13" spans="1:10" x14ac:dyDescent="0.25">
      <c r="B13"/>
      <c r="C13" s="8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zoomScale="175" zoomScaleNormal="175" workbookViewId="0">
      <selection activeCell="G9" sqref="G9"/>
    </sheetView>
  </sheetViews>
  <sheetFormatPr defaultRowHeight="15" x14ac:dyDescent="0.25"/>
  <cols>
    <col min="1" max="1" width="12.140625" style="28" bestFit="1" customWidth="1"/>
    <col min="2" max="2" width="15.85546875" bestFit="1" customWidth="1"/>
    <col min="3" max="3" width="14.28515625" bestFit="1" customWidth="1"/>
    <col min="4" max="4" width="23.140625" style="25" bestFit="1" customWidth="1"/>
    <col min="5" max="5" width="25.5703125" bestFit="1" customWidth="1"/>
    <col min="8" max="8" width="12.140625" customWidth="1"/>
    <col min="9" max="9" width="17" bestFit="1" customWidth="1"/>
  </cols>
  <sheetData>
    <row r="1" spans="1:9" x14ac:dyDescent="0.25">
      <c r="A1" s="26" t="s">
        <v>0</v>
      </c>
      <c r="B1" s="19" t="s">
        <v>1</v>
      </c>
      <c r="C1" s="19" t="s">
        <v>2</v>
      </c>
      <c r="D1" s="21" t="s">
        <v>3</v>
      </c>
      <c r="E1" s="19" t="s">
        <v>28</v>
      </c>
    </row>
    <row r="2" spans="1:9" x14ac:dyDescent="0.25">
      <c r="A2" s="27">
        <v>101</v>
      </c>
      <c r="B2" s="16" t="s">
        <v>4</v>
      </c>
      <c r="C2" s="17">
        <v>43845</v>
      </c>
      <c r="D2" s="22">
        <v>33066</v>
      </c>
      <c r="E2" s="18" t="str">
        <f ca="1">DATEDIF(D2,TODAY(),"Y")&amp;" Years "&amp;DATEDIF(D2,TODAY(),"YM")&amp;" Months "&amp;DATEDIF(D2,TODAY(),"MD")&amp;" Days"</f>
        <v>36 Years 2 Months 27 Days</v>
      </c>
      <c r="G2" s="8"/>
      <c r="H2" s="8"/>
      <c r="I2" s="23"/>
    </row>
    <row r="3" spans="1:9" x14ac:dyDescent="0.25">
      <c r="A3" s="27">
        <v>102</v>
      </c>
      <c r="B3" s="16" t="s">
        <v>5</v>
      </c>
      <c r="C3" s="17">
        <v>43617</v>
      </c>
      <c r="D3" s="22">
        <v>31374</v>
      </c>
      <c r="E3" s="18" t="str">
        <f t="shared" ref="E3:E6" ca="1" si="0">DATEDIF(D3,TODAY(),"Y")&amp;" Years "&amp;DATEDIF(D3,TODAY(),"YM")&amp;" Months "&amp;DATEDIF(D3,TODAY(),"MD")&amp;" Days"</f>
        <v>40 Years 10 Months 16 Days</v>
      </c>
      <c r="G3" s="8"/>
      <c r="H3" s="20">
        <v>45656</v>
      </c>
      <c r="I3" s="24" t="str">
        <f>TEXT(H3,"DDDD-MMM-YYYY")</f>
        <v>Monday-Dec-2024</v>
      </c>
    </row>
    <row r="4" spans="1:9" x14ac:dyDescent="0.25">
      <c r="A4" s="27">
        <v>103</v>
      </c>
      <c r="B4" s="16" t="s">
        <v>6</v>
      </c>
      <c r="C4" s="17">
        <v>44459</v>
      </c>
      <c r="D4" s="22">
        <v>33738</v>
      </c>
      <c r="E4" s="18" t="str">
        <f t="shared" ca="1" si="0"/>
        <v>34 Years 4 Months 25 Days</v>
      </c>
      <c r="H4" s="20">
        <v>37880</v>
      </c>
      <c r="I4" s="16" t="str">
        <f>TEXT(H4,"DDDD-MMM-YYYY")</f>
        <v>Tuesday-Sep-2003</v>
      </c>
    </row>
    <row r="5" spans="1:9" x14ac:dyDescent="0.25">
      <c r="A5" s="27">
        <v>104</v>
      </c>
      <c r="B5" s="16" t="s">
        <v>7</v>
      </c>
      <c r="C5" s="17">
        <v>44140</v>
      </c>
      <c r="D5" s="22">
        <v>34972</v>
      </c>
      <c r="E5" s="18" t="str">
        <f t="shared" ca="1" si="0"/>
        <v>31 Years 0 Months 9 Days</v>
      </c>
    </row>
    <row r="6" spans="1:9" x14ac:dyDescent="0.25">
      <c r="A6" s="27">
        <v>105</v>
      </c>
      <c r="B6" s="16" t="s">
        <v>8</v>
      </c>
      <c r="C6" s="17">
        <v>43181</v>
      </c>
      <c r="D6" s="22">
        <v>32191</v>
      </c>
      <c r="E6" s="18" t="str">
        <f t="shared" ca="1" si="0"/>
        <v>38 Years 7 Months 21 Days</v>
      </c>
    </row>
    <row r="10" spans="1:9" x14ac:dyDescent="0.25">
      <c r="D10"/>
    </row>
    <row r="11" spans="1:9" x14ac:dyDescent="0.25">
      <c r="D11"/>
    </row>
    <row r="12" spans="1:9" x14ac:dyDescent="0.25">
      <c r="D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="160" zoomScaleNormal="160" workbookViewId="0">
      <selection activeCell="E12" sqref="E12"/>
    </sheetView>
  </sheetViews>
  <sheetFormatPr defaultRowHeight="15" x14ac:dyDescent="0.25"/>
  <cols>
    <col min="1" max="1" width="17.28515625" customWidth="1"/>
    <col min="2" max="2" width="19.42578125" bestFit="1" customWidth="1"/>
    <col min="5" max="5" width="12.140625" customWidth="1"/>
  </cols>
  <sheetData>
    <row r="1" spans="1:5" x14ac:dyDescent="0.25">
      <c r="A1" s="32" t="s">
        <v>31</v>
      </c>
      <c r="B1" s="32" t="s">
        <v>26</v>
      </c>
      <c r="E1" s="33" t="s">
        <v>27</v>
      </c>
    </row>
    <row r="2" spans="1:5" x14ac:dyDescent="0.25">
      <c r="A2" s="30">
        <v>45627</v>
      </c>
      <c r="B2" s="31"/>
      <c r="E2" s="30">
        <v>45632</v>
      </c>
    </row>
    <row r="3" spans="1:5" x14ac:dyDescent="0.25">
      <c r="A3" s="30">
        <v>45628</v>
      </c>
      <c r="B3" s="34">
        <f>NETWORKDAYS.INTL(A2,A32,11,E2:E3)</f>
        <v>24</v>
      </c>
      <c r="E3" s="30">
        <v>45651</v>
      </c>
    </row>
    <row r="4" spans="1:5" x14ac:dyDescent="0.25">
      <c r="A4" s="30">
        <v>45629</v>
      </c>
      <c r="B4" s="34">
        <f>NETWORKDAYS.INTL(A2,A32,1,E2:E3)</f>
        <v>20</v>
      </c>
    </row>
    <row r="5" spans="1:5" x14ac:dyDescent="0.25">
      <c r="A5" s="30">
        <v>45630</v>
      </c>
      <c r="B5" s="31"/>
    </row>
    <row r="6" spans="1:5" x14ac:dyDescent="0.25">
      <c r="A6" s="30">
        <v>45631</v>
      </c>
      <c r="B6" s="31"/>
    </row>
    <row r="7" spans="1:5" x14ac:dyDescent="0.25">
      <c r="A7" s="30">
        <v>45632</v>
      </c>
      <c r="B7" s="31"/>
    </row>
    <row r="8" spans="1:5" x14ac:dyDescent="0.25">
      <c r="A8" s="30">
        <v>45633</v>
      </c>
      <c r="B8" s="31"/>
    </row>
    <row r="9" spans="1:5" x14ac:dyDescent="0.25">
      <c r="A9" s="30">
        <v>45634</v>
      </c>
      <c r="B9" s="31"/>
    </row>
    <row r="10" spans="1:5" x14ac:dyDescent="0.25">
      <c r="A10" s="30">
        <v>45635</v>
      </c>
      <c r="B10" s="31"/>
    </row>
    <row r="11" spans="1:5" x14ac:dyDescent="0.25">
      <c r="A11" s="30">
        <v>45636</v>
      </c>
      <c r="B11" s="31"/>
    </row>
    <row r="12" spans="1:5" x14ac:dyDescent="0.25">
      <c r="A12" s="30">
        <v>45637</v>
      </c>
      <c r="B12" s="31"/>
    </row>
    <row r="13" spans="1:5" x14ac:dyDescent="0.25">
      <c r="A13" s="30">
        <v>45638</v>
      </c>
      <c r="B13" s="31"/>
    </row>
    <row r="14" spans="1:5" x14ac:dyDescent="0.25">
      <c r="A14" s="30">
        <v>45639</v>
      </c>
      <c r="B14" s="31"/>
    </row>
    <row r="15" spans="1:5" x14ac:dyDescent="0.25">
      <c r="A15" s="30">
        <v>45640</v>
      </c>
      <c r="B15" s="31"/>
    </row>
    <row r="16" spans="1:5" x14ac:dyDescent="0.25">
      <c r="A16" s="30">
        <v>45641</v>
      </c>
      <c r="B16" s="31"/>
    </row>
    <row r="17" spans="1:2" x14ac:dyDescent="0.25">
      <c r="A17" s="30">
        <v>45642</v>
      </c>
      <c r="B17" s="31"/>
    </row>
    <row r="18" spans="1:2" x14ac:dyDescent="0.25">
      <c r="A18" s="30">
        <v>45643</v>
      </c>
      <c r="B18" s="31"/>
    </row>
    <row r="19" spans="1:2" x14ac:dyDescent="0.25">
      <c r="A19" s="30">
        <v>45644</v>
      </c>
      <c r="B19" s="31"/>
    </row>
    <row r="20" spans="1:2" x14ac:dyDescent="0.25">
      <c r="A20" s="30">
        <v>45645</v>
      </c>
      <c r="B20" s="31"/>
    </row>
    <row r="21" spans="1:2" x14ac:dyDescent="0.25">
      <c r="A21" s="30">
        <v>45646</v>
      </c>
      <c r="B21" s="31"/>
    </row>
    <row r="22" spans="1:2" x14ac:dyDescent="0.25">
      <c r="A22" s="30">
        <v>45647</v>
      </c>
      <c r="B22" s="31"/>
    </row>
    <row r="23" spans="1:2" x14ac:dyDescent="0.25">
      <c r="A23" s="30">
        <v>45648</v>
      </c>
      <c r="B23" s="31"/>
    </row>
    <row r="24" spans="1:2" x14ac:dyDescent="0.25">
      <c r="A24" s="30">
        <v>45649</v>
      </c>
      <c r="B24" s="31"/>
    </row>
    <row r="25" spans="1:2" x14ac:dyDescent="0.25">
      <c r="A25" s="30">
        <v>45650</v>
      </c>
      <c r="B25" s="31"/>
    </row>
    <row r="26" spans="1:2" x14ac:dyDescent="0.25">
      <c r="A26" s="30">
        <v>45651</v>
      </c>
      <c r="B26" s="31"/>
    </row>
    <row r="27" spans="1:2" x14ac:dyDescent="0.25">
      <c r="A27" s="30">
        <v>45652</v>
      </c>
      <c r="B27" s="31"/>
    </row>
    <row r="28" spans="1:2" x14ac:dyDescent="0.25">
      <c r="A28" s="30">
        <v>45653</v>
      </c>
      <c r="B28" s="31"/>
    </row>
    <row r="29" spans="1:2" x14ac:dyDescent="0.25">
      <c r="A29" s="30">
        <v>45654</v>
      </c>
      <c r="B29" s="31"/>
    </row>
    <row r="30" spans="1:2" x14ac:dyDescent="0.25">
      <c r="A30" s="30">
        <v>45655</v>
      </c>
      <c r="B30" s="31"/>
    </row>
    <row r="31" spans="1:2" x14ac:dyDescent="0.25">
      <c r="A31" s="30">
        <v>45656</v>
      </c>
      <c r="B31" s="31"/>
    </row>
    <row r="32" spans="1:2" x14ac:dyDescent="0.25">
      <c r="A32" s="30">
        <v>45657</v>
      </c>
      <c r="B32" s="31"/>
    </row>
    <row r="33" spans="1:1" x14ac:dyDescent="0.25">
      <c r="A33" s="1"/>
    </row>
    <row r="34" spans="1:1" x14ac:dyDescent="0.25">
      <c r="A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zoomScale="145" zoomScaleNormal="145" workbookViewId="0">
      <selection activeCell="C11" sqref="C11"/>
    </sheetView>
  </sheetViews>
  <sheetFormatPr defaultRowHeight="15" x14ac:dyDescent="0.25"/>
  <cols>
    <col min="1" max="1" width="17.28515625" style="41" bestFit="1" customWidth="1"/>
    <col min="2" max="2" width="16.28515625" style="11" bestFit="1" customWidth="1"/>
    <col min="3" max="3" width="12.28515625" style="41" bestFit="1" customWidth="1"/>
    <col min="4" max="5" width="18.7109375" bestFit="1" customWidth="1"/>
  </cols>
  <sheetData>
    <row r="1" spans="1:5" x14ac:dyDescent="0.25">
      <c r="A1" s="39" t="s">
        <v>22</v>
      </c>
      <c r="B1" s="37" t="s">
        <v>23</v>
      </c>
      <c r="C1" s="39" t="s">
        <v>24</v>
      </c>
      <c r="D1" s="36" t="s">
        <v>25</v>
      </c>
      <c r="E1" s="36" t="s">
        <v>25</v>
      </c>
    </row>
    <row r="2" spans="1:5" x14ac:dyDescent="0.25">
      <c r="A2" s="40">
        <v>45292</v>
      </c>
      <c r="B2" s="38">
        <v>45382</v>
      </c>
      <c r="C2" s="40">
        <v>45646</v>
      </c>
      <c r="D2" s="35">
        <f>IF(AND(C2&gt;=A2,C2&lt;=B2),B2-C2,0)</f>
        <v>0</v>
      </c>
      <c r="E2" s="35">
        <f>IF(AND(C2&gt;=A2,C2&lt;=B2),B2-C2+1,0)</f>
        <v>0</v>
      </c>
    </row>
    <row r="3" spans="1:5" x14ac:dyDescent="0.25">
      <c r="A3" s="40">
        <v>45383</v>
      </c>
      <c r="B3" s="38">
        <v>45473</v>
      </c>
      <c r="C3" s="40">
        <v>45646</v>
      </c>
      <c r="D3" s="35">
        <f t="shared" ref="D3:D5" si="0">IF(AND(C3&gt;=A3,C3&lt;=B3),B3-C3,0)</f>
        <v>0</v>
      </c>
      <c r="E3" s="35">
        <f t="shared" ref="E3:E5" si="1">IF(AND(C3&gt;=A3,C3&lt;=B3),B3-C3+1,0)</f>
        <v>0</v>
      </c>
    </row>
    <row r="4" spans="1:5" x14ac:dyDescent="0.25">
      <c r="A4" s="40">
        <v>45474</v>
      </c>
      <c r="B4" s="38">
        <v>45565</v>
      </c>
      <c r="C4" s="40">
        <v>45646</v>
      </c>
      <c r="D4" s="35">
        <f t="shared" si="0"/>
        <v>0</v>
      </c>
      <c r="E4" s="35">
        <f t="shared" si="1"/>
        <v>0</v>
      </c>
    </row>
    <row r="5" spans="1:5" x14ac:dyDescent="0.25">
      <c r="A5" s="40">
        <v>45566</v>
      </c>
      <c r="B5" s="38">
        <v>45657</v>
      </c>
      <c r="C5" s="40">
        <v>45646</v>
      </c>
      <c r="D5" s="35">
        <f t="shared" si="0"/>
        <v>11</v>
      </c>
      <c r="E5" s="35">
        <f t="shared" si="1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Deadlines</vt:lpstr>
      <vt:lpstr>Employee Data</vt:lpstr>
      <vt:lpstr>Leave Records</vt:lpstr>
      <vt:lpstr>Financial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PUSHP RAJ</cp:lastModifiedBy>
  <dcterms:created xsi:type="dcterms:W3CDTF">2024-12-20T11:30:14Z</dcterms:created>
  <dcterms:modified xsi:type="dcterms:W3CDTF">2026-10-09T10:19:39Z</dcterms:modified>
</cp:coreProperties>
</file>