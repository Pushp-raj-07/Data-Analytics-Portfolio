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5. DATA ANALYST\2. EXCEL\MY EXCEL PRACTICE FILES\LATEST FOR GITHUB\"/>
    </mc:Choice>
  </mc:AlternateContent>
  <xr:revisionPtr revIDLastSave="0" documentId="8_{0E896F82-16CF-42AB-B8D0-653AC225E61F}" xr6:coauthVersionLast="47" xr6:coauthVersionMax="47" xr10:uidLastSave="{00000000-0000-0000-0000-000000000000}"/>
  <bookViews>
    <workbookView xWindow="-120" yWindow="-120" windowWidth="29040" windowHeight="15720" tabRatio="925" activeTab="1" xr2:uid="{00000000-000D-0000-FFFF-FFFF00000000}"/>
  </bookViews>
  <sheets>
    <sheet name="Incentive Calc" sheetId="14" r:id="rId1"/>
    <sheet name="Logical_Function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2" i="3"/>
  <c r="D2" i="3"/>
  <c r="D3" i="3"/>
  <c r="D4" i="3"/>
  <c r="D5" i="3"/>
  <c r="D6" i="3"/>
  <c r="D7" i="3"/>
  <c r="D8" i="3"/>
  <c r="D9" i="3"/>
  <c r="D10" i="3"/>
  <c r="D11" i="3"/>
  <c r="D12" i="3"/>
  <c r="D13" i="3"/>
  <c r="F3" i="14"/>
  <c r="F4" i="14"/>
  <c r="F5" i="14"/>
  <c r="F6" i="14"/>
  <c r="F7" i="14"/>
  <c r="F8" i="14"/>
  <c r="F9" i="14"/>
  <c r="F10" i="14"/>
  <c r="F11" i="14"/>
  <c r="F12" i="14"/>
  <c r="F13" i="14"/>
  <c r="F2" i="14"/>
  <c r="G3" i="14" a="1"/>
  <c r="G3" i="14" s="1"/>
  <c r="G4" i="14" a="1"/>
  <c r="G4" i="14" s="1"/>
  <c r="G5" i="14" a="1"/>
  <c r="G5" i="14" s="1"/>
  <c r="G6" i="14" a="1"/>
  <c r="G6" i="14" s="1"/>
  <c r="G7" i="14" a="1"/>
  <c r="G7" i="14" s="1"/>
  <c r="G8" i="14" a="1"/>
  <c r="G8" i="14" s="1"/>
  <c r="G9" i="14" a="1"/>
  <c r="G9" i="14" s="1"/>
  <c r="G10" i="14" a="1"/>
  <c r="G10" i="14" s="1"/>
  <c r="G11" i="14" a="1"/>
  <c r="G11" i="14" s="1"/>
  <c r="G12" i="14" a="1"/>
  <c r="G12" i="14" s="1"/>
  <c r="G13" i="14" a="1"/>
  <c r="G13" i="14" s="1"/>
  <c r="G2" i="14" a="1"/>
  <c r="G2" i="14" s="1"/>
  <c r="E3" i="14"/>
  <c r="E4" i="14"/>
  <c r="E5" i="14"/>
  <c r="E6" i="14"/>
  <c r="E7" i="14"/>
  <c r="E8" i="14"/>
  <c r="E9" i="14"/>
  <c r="E10" i="14"/>
  <c r="E11" i="14"/>
  <c r="E12" i="14"/>
  <c r="E13" i="14"/>
  <c r="E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<sst xmlns="http://schemas.openxmlformats.org/spreadsheetml/2006/main" count="97" uniqueCount="53">
  <si>
    <t>Name</t>
  </si>
  <si>
    <t>Department</t>
  </si>
  <si>
    <t>Salary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</si>
  <si>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</si>
  <si>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</si>
  <si>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</si>
  <si>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</si>
  <si>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</si>
  <si>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</si>
  <si>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</si>
  <si>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</si>
  <si>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</si>
  <si>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</si>
  <si>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</si>
  <si>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Finance</t>
  </si>
  <si>
    <t>Operations</t>
  </si>
  <si>
    <t>Sales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</si>
  <si>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</si>
  <si>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</si>
  <si>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</si>
  <si>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</si>
  <si>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</si>
  <si>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</si>
  <si>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</si>
  <si>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</si>
  <si>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</si>
  <si>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</si>
  <si>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</si>
  <si>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</si>
  <si>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Salesman</t>
  </si>
  <si>
    <t>Emp ID</t>
  </si>
  <si>
    <t>Incentive</t>
  </si>
  <si>
    <t>INCENTIVE CALCULATION</t>
  </si>
  <si>
    <t>75000&gt;</t>
  </si>
  <si>
    <t>50000&gt;</t>
  </si>
  <si>
    <t>&lt;50000</t>
  </si>
  <si>
    <t>Percentage</t>
  </si>
  <si>
    <t>Target status</t>
  </si>
  <si>
    <t>Target Condition</t>
  </si>
  <si>
    <t>Sales Achieved</t>
  </si>
  <si>
    <t xml:space="preserve">Completed </t>
  </si>
  <si>
    <t>&gt;=50000</t>
  </si>
  <si>
    <t>Incomplete</t>
  </si>
  <si>
    <t>Status</t>
  </si>
  <si>
    <t>Working (years)</t>
  </si>
  <si>
    <t>5&gt;</t>
  </si>
  <si>
    <t>Both</t>
  </si>
  <si>
    <t>Yes</t>
  </si>
  <si>
    <t>Promotion</t>
  </si>
  <si>
    <t>Any One</t>
  </si>
  <si>
    <r>
      <t xml:space="preserve">Use of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OR</t>
    </r>
  </si>
  <si>
    <t>PROMOTION (AND)</t>
  </si>
  <si>
    <t>PROMOTION (OR)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</si>
</sst>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0" xfId="0" applyFont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1" fillId="4" borderId="1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top"/>
    </xf>
    <xf numFmtId="0" fontId="0" fillId="5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1" xfId="0" applyFont="1" applyFill="1" applyBorder="1" applyAlignment="1">
      <alignment horizontal="center" vertical="top"/>
    </xf>
    <xf numFmtId="9" fontId="0" fillId="5" borderId="1" xfId="0" applyNumberFormat="1" applyFill="1" applyBorder="1"/>
    <xf numFmtId="0" fontId="0" fillId="6" borderId="1" xfId="0" applyFill="1" applyBorder="1"/>
    <xf numFmtId="165" fontId="0" fillId="6" borderId="1" xfId="0" applyNumberFormat="1" applyFill="1" applyBorder="1"/>
    <xf numFmtId="0" fontId="1" fillId="7" borderId="1" xfId="0" applyFont="1" applyFill="1" applyBorder="1" applyAlignment="1">
      <alignment horizontal="center" vertical="top"/>
    </xf>
    <xf numFmtId="165" fontId="1" fillId="7" borderId="1" xfId="0" applyNumberFormat="1" applyFont="1" applyFill="1" applyBorder="1" applyAlignment="1">
      <alignment horizontal="center" vertical="top"/>
    </xf>
    <xf numFmtId="0" fontId="0" fillId="8" borderId="1" xfId="0" applyFill="1" applyBorder="1"/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C00C-B9A5-4699-A92B-3B6D199C8045}">
  <dimension ref="A1:J13"/>
  <sheetViews>
    <sheetView zoomScale="160" zoomScaleNormal="160" workbookViewId="0">
      <selection activeCell="E19" sqref="E19"/>
    </sheetView>
  </sheetViews>
  <sheetFormatPr defaultRowHeight="15" x14ac:dyDescent="0.25"/>
  <cols>
    <col min="1" max="1" width="11.5703125" bestFit="1" customWidth="1"/>
    <col min="2" max="2" width="13" customWidth="1"/>
    <col min="3" max="3" width="11.140625" bestFit="1" customWidth="1"/>
    <col min="4" max="4" width="13.140625" customWidth="1"/>
    <col min="5" max="6" width="11.85546875" customWidth="1"/>
    <col min="7" max="7" width="11.140625" customWidth="1"/>
    <col min="9" max="9" width="22.85546875" bestFit="1" customWidth="1"/>
    <col min="10" max="10" width="10.140625" bestFit="1" customWidth="1"/>
  </cols>
  <sheetData>
    <row r="1" spans="1:10" x14ac:dyDescent="0.25">
      <c r="A1" s="6" t="s">
        <v>30</v>
      </c>
      <c r="B1" s="6" t="s">
        <v>29</v>
      </c>
      <c r="C1" s="6" t="s">
        <v>1</v>
      </c>
      <c r="D1" s="6" t="s">
        <v>16</v>
      </c>
      <c r="E1" s="7" t="s">
        <v>37</v>
      </c>
      <c r="F1" s="7" t="s">
        <v>31</v>
      </c>
      <c r="G1" s="6" t="s">
        <v>31</v>
      </c>
      <c r="I1" s="9" t="s">
        <v>38</v>
      </c>
      <c r="J1" s="10"/>
    </row>
    <row r="2" spans="1:10" x14ac:dyDescent="0.25">
      <c r="A2" s="5" t="s">
        <v>17</v>
      </c>
      <c r="B2" s="5" t="s">
        <v>3</v>
      </c>
      <c r="C2" s="5" t="s">
        <v>14</v>
      </c>
      <c r="D2" s="5">
        <v>72704</v>
      </c>
      <c r="E2" s="8" t="str">
        <f>IF(D2&gt;=50000,"COMPLETED","INCOMPLETE")</f>
        <v>COMPLETED</v>
      </c>
      <c r="F2" s="8">
        <f>IF(D2&gt;75000,D2*20%,IF(D2&gt;50000,D2*15%,D2*10%))</f>
        <v>10905.6</v>
      </c>
      <c r="G2" s="5" cm="1">
        <f t="array" ref="G2">_xlfn.IFS(D2&gt;75000,D2*20%,D2&gt;50000,D2*15%,D2&lt;50000,D2*10%)</f>
        <v>10905.6</v>
      </c>
      <c r="I2" s="8" t="s">
        <v>39</v>
      </c>
      <c r="J2" s="8" t="s">
        <v>43</v>
      </c>
    </row>
    <row r="3" spans="1:10" x14ac:dyDescent="0.25">
      <c r="A3" s="5" t="s">
        <v>18</v>
      </c>
      <c r="B3" s="5" t="s">
        <v>4</v>
      </c>
      <c r="C3" s="5" t="s">
        <v>15</v>
      </c>
      <c r="D3" s="5">
        <v>44718</v>
      </c>
      <c r="E3" s="8" t="str">
        <f t="shared" ref="E3:E13" si="0">IF(D3&gt;=50000,"COMPLETED","INCOMPLETE")</f>
        <v>INCOMPLETE</v>
      </c>
      <c r="F3" s="8">
        <f t="shared" ref="F3:F13" si="1">IF(D3&gt;75000,D3*20%,IF(D3&gt;50000,D3*15%,D3*10%))</f>
        <v>4471.8</v>
      </c>
      <c r="G3" s="5" cm="1">
        <f t="array" ref="G3">_xlfn.IFS(D3&gt;75000,D3*20%,D3&gt;50000,D3*15%,D3&lt;50000,D3*10%)</f>
        <v>4471.8</v>
      </c>
      <c r="I3" s="8" t="s">
        <v>41</v>
      </c>
      <c r="J3" s="8" t="s">
        <v>40</v>
      </c>
    </row>
    <row r="4" spans="1:10" x14ac:dyDescent="0.25">
      <c r="A4" s="5" t="s">
        <v>19</v>
      </c>
      <c r="B4" s="5" t="s">
        <v>5</v>
      </c>
      <c r="C4" s="5" t="s">
        <v>16</v>
      </c>
      <c r="D4" s="5">
        <v>35210</v>
      </c>
      <c r="E4" s="8" t="str">
        <f t="shared" si="0"/>
        <v>INCOMPLETE</v>
      </c>
      <c r="F4" s="8">
        <f t="shared" si="1"/>
        <v>3521</v>
      </c>
      <c r="G4" s="5" cm="1">
        <f t="array" ref="G4">_xlfn.IFS(D4&gt;75000,D4*20%,D4&gt;50000,D4*15%,D4&lt;50000,D4*10%)</f>
        <v>3521</v>
      </c>
      <c r="I4" s="8" t="s">
        <v>35</v>
      </c>
      <c r="J4" s="8" t="s">
        <v>42</v>
      </c>
    </row>
    <row r="5" spans="1:10" x14ac:dyDescent="0.25">
      <c r="A5" s="5" t="s">
        <v>20</v>
      </c>
      <c r="B5" s="5" t="s">
        <v>6</v>
      </c>
      <c r="C5" s="5" t="s">
        <v>14</v>
      </c>
      <c r="D5" s="5">
        <v>30681</v>
      </c>
      <c r="E5" s="8" t="str">
        <f t="shared" si="0"/>
        <v>INCOMPLETE</v>
      </c>
      <c r="F5" s="8">
        <f t="shared" si="1"/>
        <v>3068.1000000000004</v>
      </c>
      <c r="G5" s="5" cm="1">
        <f t="array" ref="G5">_xlfn.IFS(D5&gt;75000,D5*20%,D5&gt;50000,D5*15%,D5&lt;50000,D5*10%)</f>
        <v>3068.1000000000004</v>
      </c>
    </row>
    <row r="6" spans="1:10" x14ac:dyDescent="0.25">
      <c r="A6" s="5" t="s">
        <v>21</v>
      </c>
      <c r="B6" s="5" t="s">
        <v>7</v>
      </c>
      <c r="C6" s="5" t="s">
        <v>15</v>
      </c>
      <c r="D6" s="5">
        <v>47487</v>
      </c>
      <c r="E6" s="8" t="str">
        <f t="shared" si="0"/>
        <v>INCOMPLETE</v>
      </c>
      <c r="F6" s="8">
        <f t="shared" si="1"/>
        <v>4748.7</v>
      </c>
      <c r="G6" s="5" cm="1">
        <f t="array" ref="G6">_xlfn.IFS(D6&gt;75000,D6*20%,D6&gt;50000,D6*15%,D6&lt;50000,D6*10%)</f>
        <v>4748.7</v>
      </c>
    </row>
    <row r="7" spans="1:10" x14ac:dyDescent="0.25">
      <c r="A7" s="5" t="s">
        <v>22</v>
      </c>
      <c r="B7" s="5" t="s">
        <v>5</v>
      </c>
      <c r="C7" s="5" t="s">
        <v>15</v>
      </c>
      <c r="D7" s="5">
        <v>75613</v>
      </c>
      <c r="E7" s="8" t="str">
        <f t="shared" si="0"/>
        <v>COMPLETED</v>
      </c>
      <c r="F7" s="8">
        <f t="shared" si="1"/>
        <v>15122.6</v>
      </c>
      <c r="G7" s="5" cm="1">
        <f t="array" ref="G7">_xlfn.IFS(D7&gt;75000,D7*20%,D7&gt;50000,D7*15%,D7&lt;50000,D7*10%)</f>
        <v>15122.6</v>
      </c>
      <c r="I7" s="11" t="s">
        <v>32</v>
      </c>
      <c r="J7" s="11"/>
    </row>
    <row r="8" spans="1:10" x14ac:dyDescent="0.25">
      <c r="A8" s="5" t="s">
        <v>23</v>
      </c>
      <c r="B8" s="5" t="s">
        <v>8</v>
      </c>
      <c r="C8" s="5" t="s">
        <v>16</v>
      </c>
      <c r="D8" s="5">
        <v>63671</v>
      </c>
      <c r="E8" s="8" t="str">
        <f t="shared" si="0"/>
        <v>COMPLETED</v>
      </c>
      <c r="F8" s="8">
        <f t="shared" si="1"/>
        <v>9550.65</v>
      </c>
      <c r="G8" s="5" cm="1">
        <f t="array" ref="G8">_xlfn.IFS(D8&gt;75000,D8*20%,D8&gt;50000,D8*15%,D8&lt;50000,D8*10%)</f>
        <v>9550.65</v>
      </c>
      <c r="I8" s="8" t="s">
        <v>16</v>
      </c>
      <c r="J8" s="8" t="s">
        <v>36</v>
      </c>
    </row>
    <row r="9" spans="1:10" x14ac:dyDescent="0.25">
      <c r="A9" s="5" t="s">
        <v>24</v>
      </c>
      <c r="B9" s="5" t="s">
        <v>9</v>
      </c>
      <c r="C9" s="5" t="s">
        <v>14</v>
      </c>
      <c r="D9" s="5">
        <v>38966</v>
      </c>
      <c r="E9" s="8" t="str">
        <f t="shared" si="0"/>
        <v>INCOMPLETE</v>
      </c>
      <c r="F9" s="8">
        <f t="shared" si="1"/>
        <v>3896.6000000000004</v>
      </c>
      <c r="G9" s="5" cm="1">
        <f t="array" ref="G9">_xlfn.IFS(D9&gt;75000,D9*20%,D9&gt;50000,D9*15%,D9&lt;50000,D9*10%)</f>
        <v>3896.6000000000004</v>
      </c>
      <c r="I9" s="8" t="s">
        <v>33</v>
      </c>
      <c r="J9" s="12">
        <v>0.2</v>
      </c>
    </row>
    <row r="10" spans="1:10" x14ac:dyDescent="0.25">
      <c r="A10" s="5" t="s">
        <v>25</v>
      </c>
      <c r="B10" s="5" t="s">
        <v>10</v>
      </c>
      <c r="C10" s="5" t="s">
        <v>15</v>
      </c>
      <c r="D10" s="5">
        <v>77052</v>
      </c>
      <c r="E10" s="8" t="str">
        <f t="shared" si="0"/>
        <v>COMPLETED</v>
      </c>
      <c r="F10" s="8">
        <f t="shared" si="1"/>
        <v>15410.400000000001</v>
      </c>
      <c r="G10" s="5" cm="1">
        <f t="array" ref="G10">_xlfn.IFS(D10&gt;75000,D10*20%,D10&gt;50000,D10*15%,D10&lt;50000,D10*10%)</f>
        <v>15410.400000000001</v>
      </c>
      <c r="I10" s="8" t="s">
        <v>34</v>
      </c>
      <c r="J10" s="12">
        <v>0.15</v>
      </c>
    </row>
    <row r="11" spans="1:10" x14ac:dyDescent="0.25">
      <c r="A11" s="5" t="s">
        <v>26</v>
      </c>
      <c r="B11" s="5" t="s">
        <v>11</v>
      </c>
      <c r="C11" s="5" t="s">
        <v>16</v>
      </c>
      <c r="D11" s="5">
        <v>86570</v>
      </c>
      <c r="E11" s="8" t="str">
        <f t="shared" si="0"/>
        <v>COMPLETED</v>
      </c>
      <c r="F11" s="8">
        <f t="shared" si="1"/>
        <v>17314</v>
      </c>
      <c r="G11" s="5" cm="1">
        <f t="array" ref="G11">_xlfn.IFS(D11&gt;75000,D11*20%,D11&gt;50000,D11*15%,D11&lt;50000,D11*10%)</f>
        <v>17314</v>
      </c>
      <c r="I11" s="8" t="s">
        <v>35</v>
      </c>
      <c r="J11" s="12">
        <v>0.1</v>
      </c>
    </row>
    <row r="12" spans="1:10" x14ac:dyDescent="0.25">
      <c r="A12" s="5" t="s">
        <v>27</v>
      </c>
      <c r="B12" s="5" t="s">
        <v>12</v>
      </c>
      <c r="C12" s="5" t="s">
        <v>16</v>
      </c>
      <c r="D12" s="5">
        <v>30250</v>
      </c>
      <c r="E12" s="8" t="str">
        <f t="shared" si="0"/>
        <v>INCOMPLETE</v>
      </c>
      <c r="F12" s="8">
        <f t="shared" si="1"/>
        <v>3025</v>
      </c>
      <c r="G12" s="5" cm="1">
        <f t="array" ref="G12">_xlfn.IFS(D12&gt;75000,D12*20%,D12&gt;50000,D12*15%,D12&lt;50000,D12*10%)</f>
        <v>3025</v>
      </c>
    </row>
    <row r="13" spans="1:10" x14ac:dyDescent="0.25">
      <c r="A13" s="5" t="s">
        <v>28</v>
      </c>
      <c r="B13" s="5" t="s">
        <v>13</v>
      </c>
      <c r="C13" s="5" t="s">
        <v>15</v>
      </c>
      <c r="D13" s="5">
        <v>71584</v>
      </c>
      <c r="E13" s="8" t="str">
        <f t="shared" si="0"/>
        <v>COMPLETED</v>
      </c>
      <c r="F13" s="8">
        <f t="shared" si="1"/>
        <v>10737.6</v>
      </c>
      <c r="G13" s="5" cm="1">
        <f t="array" ref="G13">_xlfn.IFS(D13&gt;75000,D13*20%,D13&gt;50000,D13*15%,D13&lt;50000,D13*10%)</f>
        <v>10737.6</v>
      </c>
    </row>
  </sheetData>
  <mergeCells count="1">
    <mergeCell ref="I7:J7"/>
  </mergeCells>
  <conditionalFormatting sqref="A2:D13 G2:G13">
    <cfRule type="expression" dxfId="2" priority="4">
      <formula>$C2=$E$2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tabSelected="1" zoomScale="175" zoomScaleNormal="175" workbookViewId="0">
      <selection activeCell="E16" sqref="E16"/>
    </sheetView>
  </sheetViews>
  <sheetFormatPr defaultRowHeight="15" x14ac:dyDescent="0.25"/>
  <cols>
    <col min="1" max="1" width="12.140625" bestFit="1" customWidth="1"/>
    <col min="2" max="2" width="12.28515625" customWidth="1"/>
    <col min="3" max="3" width="14.85546875" style="19" customWidth="1"/>
    <col min="4" max="5" width="19" customWidth="1"/>
    <col min="6" max="6" width="14.5703125" customWidth="1"/>
    <col min="7" max="7" width="10.7109375" customWidth="1"/>
    <col min="9" max="9" width="12.140625" customWidth="1"/>
    <col min="10" max="10" width="9.85546875" customWidth="1"/>
    <col min="11" max="11" width="9.5703125" bestFit="1" customWidth="1"/>
  </cols>
  <sheetData>
    <row r="1" spans="1:11" x14ac:dyDescent="0.25">
      <c r="A1" s="15" t="s">
        <v>0</v>
      </c>
      <c r="B1" s="15" t="s">
        <v>1</v>
      </c>
      <c r="C1" s="15" t="s">
        <v>44</v>
      </c>
      <c r="D1" s="15" t="s">
        <v>51</v>
      </c>
      <c r="E1" s="15" t="s">
        <v>52</v>
      </c>
      <c r="F1" s="16" t="s">
        <v>2</v>
      </c>
      <c r="I1" s="2" t="s">
        <v>50</v>
      </c>
    </row>
    <row r="2" spans="1:11" x14ac:dyDescent="0.25">
      <c r="A2" s="13" t="s">
        <v>3</v>
      </c>
      <c r="B2" s="13" t="s">
        <v>14</v>
      </c>
      <c r="C2" s="18">
        <v>5</v>
      </c>
      <c r="D2" s="17" t="str">
        <f>IF(AND(B2="Finance",C2&gt;=5),"YES","NO")</f>
        <v>YES</v>
      </c>
      <c r="E2" s="17" t="str">
        <f>IF(OR(B2="Finance",C2&gt;=5),"YES","NO")</f>
        <v>YES</v>
      </c>
      <c r="F2" s="14">
        <v>41954</v>
      </c>
    </row>
    <row r="3" spans="1:11" x14ac:dyDescent="0.25">
      <c r="A3" s="13" t="s">
        <v>4</v>
      </c>
      <c r="B3" s="13" t="s">
        <v>15</v>
      </c>
      <c r="C3" s="18">
        <v>4</v>
      </c>
      <c r="D3" s="17" t="str">
        <f t="shared" ref="D3:D13" si="0">IF(AND(B3="Finance",C3&gt;=5),"YES","NO")</f>
        <v>NO</v>
      </c>
      <c r="E3" s="17" t="str">
        <f t="shared" ref="E3:E13" si="1">IF(OR(B3="Finance",C3&gt;=5),"YES","NO")</f>
        <v>NO</v>
      </c>
      <c r="F3" s="14">
        <v>49855</v>
      </c>
      <c r="I3" s="4" t="s">
        <v>46</v>
      </c>
      <c r="J3" s="4"/>
      <c r="K3" s="3" t="s">
        <v>48</v>
      </c>
    </row>
    <row r="4" spans="1:11" x14ac:dyDescent="0.25">
      <c r="A4" s="13" t="s">
        <v>5</v>
      </c>
      <c r="B4" s="13" t="s">
        <v>16</v>
      </c>
      <c r="C4" s="18">
        <v>3</v>
      </c>
      <c r="D4" s="17" t="str">
        <f t="shared" si="0"/>
        <v>NO</v>
      </c>
      <c r="E4" s="17" t="str">
        <f t="shared" si="1"/>
        <v>NO</v>
      </c>
      <c r="F4" s="14">
        <v>94210</v>
      </c>
      <c r="I4" s="1" t="s">
        <v>14</v>
      </c>
      <c r="J4" s="1" t="s">
        <v>45</v>
      </c>
      <c r="K4" s="3" t="s">
        <v>47</v>
      </c>
    </row>
    <row r="5" spans="1:11" x14ac:dyDescent="0.25">
      <c r="A5" s="13" t="s">
        <v>6</v>
      </c>
      <c r="B5" s="13" t="s">
        <v>14</v>
      </c>
      <c r="C5" s="18">
        <v>5</v>
      </c>
      <c r="D5" s="17" t="str">
        <f t="shared" si="0"/>
        <v>YES</v>
      </c>
      <c r="E5" s="17" t="str">
        <f t="shared" si="1"/>
        <v>YES</v>
      </c>
      <c r="F5" s="14">
        <v>74689</v>
      </c>
    </row>
    <row r="6" spans="1:11" x14ac:dyDescent="0.25">
      <c r="A6" s="13" t="s">
        <v>7</v>
      </c>
      <c r="B6" s="13" t="s">
        <v>15</v>
      </c>
      <c r="C6" s="18">
        <v>6</v>
      </c>
      <c r="D6" s="17" t="str">
        <f t="shared" si="0"/>
        <v>NO</v>
      </c>
      <c r="E6" s="17" t="str">
        <f t="shared" si="1"/>
        <v>YES</v>
      </c>
      <c r="F6" s="14">
        <v>90652</v>
      </c>
    </row>
    <row r="7" spans="1:11" x14ac:dyDescent="0.25">
      <c r="A7" s="13" t="s">
        <v>5</v>
      </c>
      <c r="B7" s="13" t="s">
        <v>15</v>
      </c>
      <c r="C7" s="18">
        <v>2</v>
      </c>
      <c r="D7" s="17" t="str">
        <f t="shared" si="0"/>
        <v>NO</v>
      </c>
      <c r="E7" s="17" t="str">
        <f t="shared" si="1"/>
        <v>NO</v>
      </c>
      <c r="F7" s="14">
        <v>74820</v>
      </c>
      <c r="I7" s="4" t="s">
        <v>49</v>
      </c>
      <c r="J7" s="4"/>
      <c r="K7" s="3" t="s">
        <v>48</v>
      </c>
    </row>
    <row r="8" spans="1:11" x14ac:dyDescent="0.25">
      <c r="A8" s="13" t="s">
        <v>8</v>
      </c>
      <c r="B8" s="13" t="s">
        <v>16</v>
      </c>
      <c r="C8" s="18">
        <v>3</v>
      </c>
      <c r="D8" s="17" t="str">
        <f t="shared" si="0"/>
        <v>NO</v>
      </c>
      <c r="E8" s="17" t="str">
        <f t="shared" si="1"/>
        <v>NO</v>
      </c>
      <c r="F8" s="14">
        <v>85206</v>
      </c>
      <c r="I8" s="1" t="s">
        <v>14</v>
      </c>
      <c r="J8" s="1" t="s">
        <v>45</v>
      </c>
      <c r="K8" s="3" t="s">
        <v>47</v>
      </c>
    </row>
    <row r="9" spans="1:11" x14ac:dyDescent="0.25">
      <c r="A9" s="13" t="s">
        <v>9</v>
      </c>
      <c r="B9" s="13" t="s">
        <v>14</v>
      </c>
      <c r="C9" s="18">
        <v>5</v>
      </c>
      <c r="D9" s="17" t="str">
        <f t="shared" si="0"/>
        <v>YES</v>
      </c>
      <c r="E9" s="17" t="str">
        <f t="shared" si="1"/>
        <v>YES</v>
      </c>
      <c r="F9" s="14">
        <v>30924</v>
      </c>
    </row>
    <row r="10" spans="1:11" x14ac:dyDescent="0.25">
      <c r="A10" s="13" t="s">
        <v>10</v>
      </c>
      <c r="B10" s="13" t="s">
        <v>15</v>
      </c>
      <c r="C10" s="18">
        <v>6</v>
      </c>
      <c r="D10" s="17" t="str">
        <f t="shared" si="0"/>
        <v>NO</v>
      </c>
      <c r="E10" s="17" t="str">
        <f t="shared" si="1"/>
        <v>YES</v>
      </c>
      <c r="F10" s="14">
        <v>57737</v>
      </c>
    </row>
    <row r="11" spans="1:11" x14ac:dyDescent="0.25">
      <c r="A11" s="13" t="s">
        <v>11</v>
      </c>
      <c r="B11" s="13" t="s">
        <v>16</v>
      </c>
      <c r="C11" s="18">
        <v>2</v>
      </c>
      <c r="D11" s="17" t="str">
        <f t="shared" si="0"/>
        <v>NO</v>
      </c>
      <c r="E11" s="17" t="str">
        <f t="shared" si="1"/>
        <v>NO</v>
      </c>
      <c r="F11" s="14">
        <v>36000</v>
      </c>
    </row>
    <row r="12" spans="1:11" x14ac:dyDescent="0.25">
      <c r="A12" s="13" t="s">
        <v>12</v>
      </c>
      <c r="B12" s="13" t="s">
        <v>16</v>
      </c>
      <c r="C12" s="18">
        <v>3</v>
      </c>
      <c r="D12" s="17" t="str">
        <f t="shared" si="0"/>
        <v>NO</v>
      </c>
      <c r="E12" s="17" t="str">
        <f t="shared" si="1"/>
        <v>NO</v>
      </c>
      <c r="F12" s="14">
        <v>96371</v>
      </c>
    </row>
    <row r="13" spans="1:11" x14ac:dyDescent="0.25">
      <c r="A13" s="13" t="s">
        <v>13</v>
      </c>
      <c r="B13" s="13" t="s">
        <v>15</v>
      </c>
      <c r="C13" s="18">
        <v>7</v>
      </c>
      <c r="D13" s="17" t="str">
        <f t="shared" si="0"/>
        <v>NO</v>
      </c>
      <c r="E13" s="17" t="str">
        <f t="shared" si="1"/>
        <v>YES</v>
      </c>
      <c r="F13" s="14">
        <v>85028</v>
      </c>
    </row>
  </sheetData>
  <mergeCells count="2">
    <mergeCell ref="I3:J3"/>
    <mergeCell ref="I7:J7"/>
  </mergeCells>
  <conditionalFormatting sqref="I4">
    <cfRule type="expression" dxfId="1" priority="2">
      <formula>$F3=$I$3</formula>
    </cfRule>
  </conditionalFormatting>
  <conditionalFormatting sqref="I8 A2:F13">
    <cfRule type="expression" dxfId="0" priority="5">
      <formula>$F2=$I$3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Incentive Calc</vt:lpstr>
      <vt:lpstr>Logical_Functions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PUSHP RAJ</cp:lastModifiedBy>
  <dcterms:created xsi:type="dcterms:W3CDTF">2024-12-11T15:12:54Z</dcterms:created>
  <dcterms:modified xsi:type="dcterms:W3CDTF">2026-10-08T15:08:54Z</dcterms:modified>
</cp:coreProperties>
</file>